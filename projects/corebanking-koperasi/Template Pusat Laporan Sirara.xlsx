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5540687-F8DD-4D0D-ACD3-7B7D2CA45627}" xr6:coauthVersionLast="47" xr6:coauthVersionMax="47" xr10:uidLastSave="{00000000-0000-0000-0000-000000000000}"/>
  <bookViews>
    <workbookView xWindow="-110" yWindow="-110" windowWidth="19420" windowHeight="11500" tabRatio="790" xr2:uid="{88DE169E-D347-4531-8DA1-61CE3C05B458}"/>
  </bookViews>
  <sheets>
    <sheet name="Laporan Nominatif Kredit" sheetId="1" r:id="rId1"/>
    <sheet name="Laporan Pembayaran Angsuran" sheetId="4" r:id="rId2"/>
    <sheet name="Laporan Realisasi" sheetId="5" r:id="rId3"/>
    <sheet name="Laporan Pelunasan" sheetId="6" r:id="rId4"/>
    <sheet name="Laporan Nominatif Deposito" sheetId="2" r:id="rId5"/>
    <sheet name="Lap Pembayaran Bunga Deposito" sheetId="7" r:id="rId6"/>
    <sheet name="Lap Deposito Cair" sheetId="8" r:id="rId7"/>
    <sheet name="Lap Deposito Penempatan" sheetId="9" r:id="rId8"/>
    <sheet name="Laporan Nominatif Tabungan" sheetId="3" r:id="rId9"/>
    <sheet name="Laporan Tabungan Buka" sheetId="10" r:id="rId10"/>
    <sheet name="Laporan Tabungan Tutup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R4" i="5"/>
  <c r="P4" i="5"/>
  <c r="P3" i="5"/>
  <c r="I3" i="5"/>
  <c r="I4" i="5"/>
  <c r="T17" i="4"/>
  <c r="S17" i="4"/>
  <c r="R17" i="4"/>
  <c r="Q17" i="4"/>
  <c r="P17" i="4"/>
  <c r="O17" i="4"/>
  <c r="I17" i="4"/>
  <c r="H17" i="4"/>
  <c r="W14" i="1"/>
  <c r="V14" i="1"/>
  <c r="T14" i="1"/>
  <c r="Q14" i="1"/>
  <c r="P14" i="1"/>
  <c r="O14" i="1"/>
  <c r="I14" i="1"/>
  <c r="H14" i="1"/>
  <c r="T5" i="4"/>
  <c r="T4" i="4"/>
  <c r="S5" i="4"/>
  <c r="S4" i="4"/>
  <c r="P5" i="4"/>
  <c r="P4" i="4"/>
  <c r="O4" i="4"/>
  <c r="I5" i="4"/>
  <c r="U3" i="1"/>
  <c r="U2" i="1"/>
  <c r="U14" i="1" s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tc={E2906F75-238C-41E1-B608-94454EB0BA9C}</author>
  </authors>
  <commentList>
    <comment ref="W3" authorId="0" shapeId="0" xr:uid="{E2906F75-238C-41E1-B608-94454EB0BA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Berkurang Setiap bulan apabila sudah dibukukan
</t>
      </text>
    </comment>
  </commentList>
</comments>
</file>

<file path=xl/sharedStrings.xml><?xml version="1.0" encoding="utf-8"?>
<sst xmlns="http://schemas.openxmlformats.org/spreadsheetml/2006/main" count="270" uniqueCount="82">
  <si>
    <t>No</t>
  </si>
  <si>
    <t>CIF</t>
  </si>
  <si>
    <t>Norek Kredit</t>
  </si>
  <si>
    <t>Nama</t>
  </si>
  <si>
    <t>Alamat</t>
  </si>
  <si>
    <t>Plafond</t>
  </si>
  <si>
    <t>Tgl Realisasi</t>
  </si>
  <si>
    <t>Tenor</t>
  </si>
  <si>
    <t>Tgl Jt Tempo</t>
  </si>
  <si>
    <t>Angsuran</t>
  </si>
  <si>
    <t>Skim</t>
  </si>
  <si>
    <t>Baki Debet</t>
  </si>
  <si>
    <t>Tunggakan pokok</t>
  </si>
  <si>
    <t>Tunggakan Bunga</t>
  </si>
  <si>
    <t>Kolektibilitas</t>
  </si>
  <si>
    <t>Marketing</t>
  </si>
  <si>
    <t>No HP</t>
  </si>
  <si>
    <t>Status</t>
  </si>
  <si>
    <t>Provisi (Rp)</t>
  </si>
  <si>
    <t>Admin (Rp)</t>
  </si>
  <si>
    <t>Asuransi (Rp)</t>
  </si>
  <si>
    <t>Perusahaan Asuransi</t>
  </si>
  <si>
    <t>Sys Bunga</t>
  </si>
  <si>
    <t>Bunga</t>
  </si>
  <si>
    <t>Norek Deposito</t>
  </si>
  <si>
    <t>No Bilyet</t>
  </si>
  <si>
    <t>Tgl Penempatan</t>
  </si>
  <si>
    <t>Tgl Mulai</t>
  </si>
  <si>
    <t>JKW</t>
  </si>
  <si>
    <t>Nominal</t>
  </si>
  <si>
    <t>Perpanjangan</t>
  </si>
  <si>
    <t>Rek Pembayaran Bunga</t>
  </si>
  <si>
    <t>Bank</t>
  </si>
  <si>
    <t>Nama Penerima Pembayaran Bunga</t>
  </si>
  <si>
    <t>Norek Tabungan</t>
  </si>
  <si>
    <t>Jenis Tabungan</t>
  </si>
  <si>
    <t>Tgl Pembukaan</t>
  </si>
  <si>
    <t>Saldo</t>
  </si>
  <si>
    <t>Angsuran Dimuka (Rp)</t>
  </si>
  <si>
    <t>Tgl Status</t>
  </si>
  <si>
    <t>Pokok</t>
  </si>
  <si>
    <t>Denda</t>
  </si>
  <si>
    <t>Pinalti</t>
  </si>
  <si>
    <t>Total</t>
  </si>
  <si>
    <t>Kol</t>
  </si>
  <si>
    <t>Sebelum</t>
  </si>
  <si>
    <t>Sesudah</t>
  </si>
  <si>
    <t>Provisi</t>
  </si>
  <si>
    <t>Administrasi</t>
  </si>
  <si>
    <t>Premi Asuransi</t>
  </si>
  <si>
    <t>Bunga Diterima Dimuka</t>
  </si>
  <si>
    <t>Potongan-Potongan</t>
  </si>
  <si>
    <t>Tanggal Status</t>
  </si>
  <si>
    <t>10000000000001</t>
  </si>
  <si>
    <t>Reguler</t>
  </si>
  <si>
    <t>Diskonto</t>
  </si>
  <si>
    <t>Produk</t>
  </si>
  <si>
    <t>Pensiun ASN</t>
  </si>
  <si>
    <t>Pegawai BPR</t>
  </si>
  <si>
    <t>Rika Andriani</t>
  </si>
  <si>
    <t>Bekasi</t>
  </si>
  <si>
    <t>Flat</t>
  </si>
  <si>
    <t>Anuitas</t>
  </si>
  <si>
    <t>Bunga (Thn)</t>
  </si>
  <si>
    <t>Pensiun DP Taspen</t>
  </si>
  <si>
    <t>Rama</t>
  </si>
  <si>
    <t>Aktiv</t>
  </si>
  <si>
    <t>Lunas</t>
  </si>
  <si>
    <t>Asei</t>
  </si>
  <si>
    <t>GIB</t>
  </si>
  <si>
    <t>082125605885</t>
  </si>
  <si>
    <t>20000000000001</t>
  </si>
  <si>
    <t>Bayar Angsuran</t>
  </si>
  <si>
    <t>Baki Debet Awal</t>
  </si>
  <si>
    <t>Baki Debet Akhir</t>
  </si>
  <si>
    <t>-</t>
  </si>
  <si>
    <t>Tunggakan Pokok</t>
  </si>
  <si>
    <t>% Bunga</t>
  </si>
  <si>
    <t>Brutto</t>
  </si>
  <si>
    <t>Pajak</t>
  </si>
  <si>
    <t>Netto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</si>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</sst>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43" fontId="0" fillId="0" borderId="1" xfId="1" applyFont="1" applyBorder="1"/>
    <xf numFmtId="43" fontId="0" fillId="0" borderId="1" xfId="0" applyNumberFormat="1" applyBorder="1"/>
    <xf numFmtId="14" fontId="0" fillId="0" borderId="1" xfId="0" applyNumberFormat="1" applyBorder="1"/>
    <xf numFmtId="43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PR DP TASPEN" id="{93A1A1DF-FA8C-4D79-9612-0DBB65E33121}" userId="96d5888fc56c7cf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6-07-24T10:24:20.12" personId="{93A1A1DF-FA8C-4D79-9612-0DBB65E33121}" id="{E2906F75-238C-41E1-B608-94454EB0BA9C}">
    <text xml:space="preserve">Berkurang Setiap bulan apabila sudah dibukukan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605-53AC-4B23-9992-F3634E7C5FA6}">
  <dimension ref="A1:AA14"/>
  <sheetViews>
    <sheetView tabSelected="1" workbookViewId="0">
      <selection activeCell="G21" sqref="G21"/>
    </sheetView>
  </sheetViews>
  <sheetFormatPr defaultColWidth="7.453125" defaultRowHeight="14.5" x14ac:dyDescent="0.35"/>
  <cols>
    <col min="1" max="1" width="3.08984375" bestFit="1" customWidth="1"/>
    <col min="2" max="2" width="7.90625" customWidth="1"/>
    <col min="3" max="3" width="14.90625" bestFit="1" customWidth="1"/>
    <col min="4" max="4" width="16.26953125" bestFit="1" customWidth="1"/>
    <col min="5" max="5" width="8" bestFit="1" customWidth="1"/>
    <col min="6" max="6" width="11.26953125" bestFit="1" customWidth="1"/>
    <col min="7" max="7" width="6.7265625" bestFit="1" customWidth="1"/>
    <col min="8" max="9" width="13.81640625" bestFit="1" customWidth="1"/>
    <col min="10" max="10" width="11.1796875" bestFit="1" customWidth="1"/>
    <col min="11" max="11" width="5.453125" bestFit="1" customWidth="1"/>
    <col min="12" max="12" width="10.81640625" bestFit="1" customWidth="1"/>
    <col min="13" max="13" width="10.81640625" customWidth="1"/>
    <col min="14" max="14" width="10.7265625" bestFit="1" customWidth="1"/>
    <col min="15" max="15" width="12.7265625" bestFit="1" customWidth="1"/>
    <col min="16" max="16" width="15.36328125" bestFit="1" customWidth="1"/>
    <col min="17" max="17" width="15.453125" bestFit="1" customWidth="1"/>
    <col min="18" max="18" width="11.90625" bestFit="1" customWidth="1"/>
    <col min="19" max="19" width="18.54296875" bestFit="1" customWidth="1"/>
    <col min="20" max="20" width="12.54296875" customWidth="1"/>
    <col min="21" max="21" width="12.7265625" bestFit="1" customWidth="1"/>
    <col min="22" max="22" width="15.36328125" customWidth="1"/>
    <col min="23" max="23" width="19.6328125" bestFit="1" customWidth="1"/>
    <col min="24" max="24" width="12.6328125" customWidth="1"/>
    <col min="25" max="25" width="9.08984375" bestFit="1" customWidth="1"/>
    <col min="26" max="26" width="9.08984375" customWidth="1"/>
    <col min="27" max="27" width="10.08984375" bestFit="1" customWidth="1"/>
  </cols>
  <sheetData>
    <row r="1" spans="1:27" s="3" customFormat="1" x14ac:dyDescent="0.35">
      <c r="A1" s="2" t="s">
        <v>0</v>
      </c>
      <c r="B1" s="2" t="s">
        <v>1</v>
      </c>
      <c r="C1" s="2" t="s">
        <v>2</v>
      </c>
      <c r="D1" s="2" t="s">
        <v>56</v>
      </c>
      <c r="E1" s="2" t="s">
        <v>10</v>
      </c>
      <c r="F1" s="2" t="s">
        <v>3</v>
      </c>
      <c r="G1" s="2" t="s">
        <v>4</v>
      </c>
      <c r="H1" s="2" t="s">
        <v>5</v>
      </c>
      <c r="I1" s="2" t="s">
        <v>11</v>
      </c>
      <c r="J1" s="2" t="s">
        <v>6</v>
      </c>
      <c r="K1" s="2" t="s">
        <v>7</v>
      </c>
      <c r="L1" s="2" t="s">
        <v>8</v>
      </c>
      <c r="M1" s="2" t="s">
        <v>22</v>
      </c>
      <c r="N1" s="2" t="s">
        <v>63</v>
      </c>
      <c r="O1" s="2" t="s">
        <v>9</v>
      </c>
      <c r="P1" s="2" t="s">
        <v>12</v>
      </c>
      <c r="Q1" s="2" t="s">
        <v>13</v>
      </c>
      <c r="R1" s="2" t="s">
        <v>14</v>
      </c>
      <c r="S1" s="2" t="s">
        <v>21</v>
      </c>
      <c r="T1" s="2" t="s">
        <v>18</v>
      </c>
      <c r="U1" s="2" t="s">
        <v>19</v>
      </c>
      <c r="V1" s="2" t="s">
        <v>20</v>
      </c>
      <c r="W1" s="2" t="s">
        <v>38</v>
      </c>
      <c r="X1" s="2" t="s">
        <v>16</v>
      </c>
      <c r="Y1" s="2" t="s">
        <v>15</v>
      </c>
      <c r="Z1" s="2" t="s">
        <v>17</v>
      </c>
      <c r="AA1" s="2" t="s">
        <v>39</v>
      </c>
    </row>
    <row r="2" spans="1:27" x14ac:dyDescent="0.35">
      <c r="A2" s="1">
        <v>1</v>
      </c>
      <c r="B2" s="1">
        <v>123456</v>
      </c>
      <c r="C2" s="9" t="s">
        <v>53</v>
      </c>
      <c r="D2" s="1" t="s">
        <v>58</v>
      </c>
      <c r="E2" s="1" t="s">
        <v>54</v>
      </c>
      <c r="F2" s="1" t="s">
        <v>59</v>
      </c>
      <c r="G2" s="1" t="s">
        <v>60</v>
      </c>
      <c r="H2" s="10">
        <v>15000000</v>
      </c>
      <c r="I2" s="11">
        <v>12000000</v>
      </c>
      <c r="J2" s="12">
        <v>46046</v>
      </c>
      <c r="K2" s="1">
        <v>12</v>
      </c>
      <c r="L2" s="12">
        <v>46411</v>
      </c>
      <c r="M2" s="1" t="s">
        <v>61</v>
      </c>
      <c r="N2" s="8">
        <v>12</v>
      </c>
      <c r="O2" s="10">
        <v>1000000</v>
      </c>
      <c r="P2" s="1">
        <v>0</v>
      </c>
      <c r="Q2" s="1">
        <v>0</v>
      </c>
      <c r="R2" s="1">
        <v>1</v>
      </c>
      <c r="S2" s="1" t="s">
        <v>68</v>
      </c>
      <c r="T2" s="1">
        <v>0</v>
      </c>
      <c r="U2" s="11">
        <f>H2*3%</f>
        <v>450000</v>
      </c>
      <c r="V2" s="10">
        <v>100000</v>
      </c>
      <c r="W2" s="11">
        <v>0</v>
      </c>
      <c r="X2" s="9" t="s">
        <v>70</v>
      </c>
      <c r="Y2" s="1" t="s">
        <v>65</v>
      </c>
      <c r="Z2" s="1" t="s">
        <v>66</v>
      </c>
      <c r="AA2" s="12">
        <v>46227</v>
      </c>
    </row>
    <row r="3" spans="1:27" x14ac:dyDescent="0.35">
      <c r="A3" s="1">
        <v>2</v>
      </c>
      <c r="B3" s="1">
        <v>123456</v>
      </c>
      <c r="C3" s="9" t="s">
        <v>71</v>
      </c>
      <c r="D3" s="1" t="s">
        <v>58</v>
      </c>
      <c r="E3" s="1" t="s">
        <v>55</v>
      </c>
      <c r="F3" s="1" t="s">
        <v>59</v>
      </c>
      <c r="G3" s="1" t="s">
        <v>60</v>
      </c>
      <c r="H3" s="10">
        <v>50000000</v>
      </c>
      <c r="I3" s="11">
        <f>H3</f>
        <v>50000000</v>
      </c>
      <c r="J3" s="12">
        <v>45368</v>
      </c>
      <c r="K3" s="1">
        <v>12</v>
      </c>
      <c r="L3" s="12">
        <v>45733</v>
      </c>
      <c r="M3" s="1" t="s">
        <v>61</v>
      </c>
      <c r="N3" s="8">
        <v>12</v>
      </c>
      <c r="O3" s="10">
        <v>0</v>
      </c>
      <c r="P3" s="1">
        <v>0</v>
      </c>
      <c r="Q3" s="1">
        <v>0</v>
      </c>
      <c r="R3" s="1">
        <v>1</v>
      </c>
      <c r="S3" s="1" t="s">
        <v>69</v>
      </c>
      <c r="T3" s="1">
        <v>0</v>
      </c>
      <c r="U3" s="11">
        <f>H3*3%</f>
        <v>1500000</v>
      </c>
      <c r="V3" s="10">
        <v>150000</v>
      </c>
      <c r="W3" s="11">
        <v>0</v>
      </c>
      <c r="X3" s="9" t="s">
        <v>70</v>
      </c>
      <c r="Y3" s="1" t="s">
        <v>65</v>
      </c>
      <c r="Z3" s="1" t="s">
        <v>67</v>
      </c>
      <c r="AA3" s="12">
        <v>45726</v>
      </c>
    </row>
    <row r="4" spans="1:27" x14ac:dyDescent="0.35">
      <c r="A4" s="1"/>
      <c r="B4" s="1"/>
      <c r="C4" s="1"/>
      <c r="D4" s="1" t="s">
        <v>57</v>
      </c>
      <c r="E4" s="1"/>
      <c r="F4" s="1"/>
      <c r="G4" s="1"/>
      <c r="H4" s="1"/>
      <c r="I4" s="1"/>
      <c r="J4" s="1"/>
      <c r="K4" s="1"/>
      <c r="L4" s="1"/>
      <c r="M4" s="1" t="s">
        <v>62</v>
      </c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A5" s="1"/>
      <c r="B5" s="1"/>
      <c r="C5" s="1"/>
      <c r="D5" s="1" t="s">
        <v>64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A14" s="6"/>
      <c r="B14" s="6"/>
      <c r="C14" s="6"/>
      <c r="D14" s="6"/>
      <c r="E14" s="6"/>
      <c r="F14" s="6"/>
      <c r="G14" s="6"/>
      <c r="H14" s="13">
        <f>SUM(H2:H13)</f>
        <v>65000000</v>
      </c>
      <c r="I14" s="13">
        <f>SUM(I2:I13)</f>
        <v>62000000</v>
      </c>
      <c r="J14" s="6"/>
      <c r="K14" s="6"/>
      <c r="L14" s="6"/>
      <c r="M14" s="6"/>
      <c r="N14" s="6"/>
      <c r="O14" s="13">
        <f>SUM(O2:O13)</f>
        <v>1000000</v>
      </c>
      <c r="P14" s="13">
        <f>SUM(P2:P13)</f>
        <v>0</v>
      </c>
      <c r="Q14" s="13">
        <f>SUM(Q2:Q13)</f>
        <v>0</v>
      </c>
      <c r="R14" s="6"/>
      <c r="S14" s="6"/>
      <c r="T14" s="13">
        <f>SUM(T2:T13)</f>
        <v>0</v>
      </c>
      <c r="U14" s="13">
        <f>SUM(U2:U13)</f>
        <v>1950000</v>
      </c>
      <c r="V14" s="13">
        <f>SUM(V2:V13)</f>
        <v>250000</v>
      </c>
      <c r="W14" s="13">
        <f>SUM(W2:W13)</f>
        <v>0</v>
      </c>
      <c r="X14" s="6"/>
      <c r="Y14" s="6"/>
      <c r="Z14" s="6"/>
      <c r="AA14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7C21-F0EB-4157-8826-FFD32E059657}">
  <dimension ref="A2:V17"/>
  <sheetViews>
    <sheetView workbookViewId="0">
      <selection activeCell="A17" sqref="A17:V17"/>
    </sheetView>
  </sheetViews>
  <sheetFormatPr defaultRowHeight="14.5" x14ac:dyDescent="0.35"/>
  <cols>
    <col min="1" max="1" width="3.08984375" bestFit="1" customWidth="1"/>
    <col min="2" max="2" width="6.81640625" bestFit="1" customWidth="1"/>
    <col min="3" max="3" width="14.90625" bestFit="1" customWidth="1"/>
    <col min="4" max="4" width="11.1796875" bestFit="1" customWidth="1"/>
    <col min="5" max="5" width="8" bestFit="1" customWidth="1"/>
    <col min="6" max="6" width="11.26953125" bestFit="1" customWidth="1"/>
    <col min="7" max="7" width="6.7265625" bestFit="1" customWidth="1"/>
    <col min="8" max="9" width="13.81640625" bestFit="1" customWidth="1"/>
    <col min="10" max="10" width="11.1796875" bestFit="1" customWidth="1"/>
    <col min="11" max="11" width="5.453125" bestFit="1" customWidth="1"/>
    <col min="12" max="12" width="10.81640625" bestFit="1" customWidth="1"/>
    <col min="13" max="13" width="10.81640625" customWidth="1"/>
    <col min="14" max="14" width="10.7265625" bestFit="1" customWidth="1"/>
    <col min="15" max="15" width="12.7265625" bestFit="1" customWidth="1"/>
    <col min="16" max="16" width="11.1796875" bestFit="1" customWidth="1"/>
    <col min="17" max="18" width="6.26953125" bestFit="1" customWidth="1"/>
    <col min="19" max="19" width="12.7265625" bestFit="1" customWidth="1"/>
    <col min="20" max="20" width="14.6328125" bestFit="1" customWidth="1"/>
    <col min="21" max="21" width="8.26953125" bestFit="1" customWidth="1"/>
    <col min="22" max="22" width="8.08984375" bestFit="1" customWidth="1"/>
  </cols>
  <sheetData>
    <row r="2" spans="1:22" s="4" customFormat="1" x14ac:dyDescent="0.35">
      <c r="A2" s="2" t="s">
        <v>0</v>
      </c>
      <c r="B2" s="2" t="s">
        <v>1</v>
      </c>
      <c r="C2" s="2" t="s">
        <v>2</v>
      </c>
      <c r="D2" s="2" t="s">
        <v>56</v>
      </c>
      <c r="E2" s="2" t="s">
        <v>10</v>
      </c>
      <c r="F2" s="2" t="s">
        <v>3</v>
      </c>
      <c r="G2" s="2" t="s">
        <v>4</v>
      </c>
      <c r="H2" s="2" t="s">
        <v>5</v>
      </c>
      <c r="I2" s="2" t="s">
        <v>73</v>
      </c>
      <c r="J2" s="2" t="s">
        <v>6</v>
      </c>
      <c r="K2" s="2" t="s">
        <v>7</v>
      </c>
      <c r="L2" s="2" t="s">
        <v>8</v>
      </c>
      <c r="M2" s="2" t="s">
        <v>22</v>
      </c>
      <c r="N2" s="2" t="s">
        <v>63</v>
      </c>
      <c r="O2" s="5" t="s">
        <v>72</v>
      </c>
      <c r="P2" s="5"/>
      <c r="Q2" s="5"/>
      <c r="R2" s="5"/>
      <c r="S2" s="5"/>
      <c r="T2" s="7" t="s">
        <v>74</v>
      </c>
      <c r="U2" s="7" t="s">
        <v>44</v>
      </c>
      <c r="V2" s="7" t="s">
        <v>44</v>
      </c>
    </row>
    <row r="3" spans="1:22" s="4" customForma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" t="s">
        <v>40</v>
      </c>
      <c r="P3" s="2" t="s">
        <v>23</v>
      </c>
      <c r="Q3" s="2" t="s">
        <v>41</v>
      </c>
      <c r="R3" s="2" t="s">
        <v>42</v>
      </c>
      <c r="S3" s="7" t="s">
        <v>43</v>
      </c>
      <c r="T3" s="8"/>
      <c r="U3" s="7" t="s">
        <v>45</v>
      </c>
      <c r="V3" s="7" t="s">
        <v>46</v>
      </c>
    </row>
    <row r="4" spans="1:22" x14ac:dyDescent="0.35">
      <c r="A4" s="1">
        <v>1</v>
      </c>
      <c r="B4" s="1">
        <v>123456</v>
      </c>
      <c r="C4" s="9" t="s">
        <v>53</v>
      </c>
      <c r="D4" s="1" t="s">
        <v>58</v>
      </c>
      <c r="E4" s="1" t="s">
        <v>54</v>
      </c>
      <c r="F4" s="1" t="s">
        <v>59</v>
      </c>
      <c r="G4" s="1" t="s">
        <v>60</v>
      </c>
      <c r="H4" s="10">
        <v>15000000</v>
      </c>
      <c r="I4" s="11">
        <v>12000000</v>
      </c>
      <c r="J4" s="12">
        <v>46046</v>
      </c>
      <c r="K4" s="1">
        <v>12</v>
      </c>
      <c r="L4" s="12">
        <v>46411</v>
      </c>
      <c r="M4" s="1" t="s">
        <v>61</v>
      </c>
      <c r="N4" s="8">
        <v>12</v>
      </c>
      <c r="O4" s="11">
        <f>H4/K4</f>
        <v>1250000</v>
      </c>
      <c r="P4" s="11">
        <f>H4*(N4/12)%</f>
        <v>150000</v>
      </c>
      <c r="Q4" s="1">
        <v>0</v>
      </c>
      <c r="R4" s="1">
        <v>0</v>
      </c>
      <c r="S4" s="11">
        <f>O4+P4+Q4+R4</f>
        <v>1400000</v>
      </c>
      <c r="T4" s="11">
        <f>I4-O4</f>
        <v>10750000</v>
      </c>
      <c r="U4" s="8">
        <v>1</v>
      </c>
      <c r="V4" s="8">
        <v>1</v>
      </c>
    </row>
    <row r="5" spans="1:22" x14ac:dyDescent="0.35">
      <c r="A5" s="1">
        <v>2</v>
      </c>
      <c r="B5" s="1">
        <v>123456</v>
      </c>
      <c r="C5" s="9" t="s">
        <v>71</v>
      </c>
      <c r="D5" s="1" t="s">
        <v>58</v>
      </c>
      <c r="E5" s="1" t="s">
        <v>55</v>
      </c>
      <c r="F5" s="1" t="s">
        <v>59</v>
      </c>
      <c r="G5" s="1" t="s">
        <v>60</v>
      </c>
      <c r="H5" s="10">
        <v>50000000</v>
      </c>
      <c r="I5" s="11">
        <f>H5</f>
        <v>50000000</v>
      </c>
      <c r="J5" s="12">
        <v>45368</v>
      </c>
      <c r="K5" s="1">
        <v>12</v>
      </c>
      <c r="L5" s="12">
        <v>45733</v>
      </c>
      <c r="M5" s="1" t="s">
        <v>61</v>
      </c>
      <c r="N5" s="8">
        <v>12</v>
      </c>
      <c r="O5" s="1">
        <v>0</v>
      </c>
      <c r="P5" s="11">
        <f>H5*(N5/12)%</f>
        <v>500000</v>
      </c>
      <c r="Q5" s="1">
        <v>0</v>
      </c>
      <c r="R5" s="1">
        <v>0</v>
      </c>
      <c r="S5" s="11">
        <f>O5+P5+Q5+R5</f>
        <v>500000</v>
      </c>
      <c r="T5" s="11">
        <f>I5-O5</f>
        <v>50000000</v>
      </c>
      <c r="U5" s="8">
        <v>1</v>
      </c>
      <c r="V5" s="8">
        <v>1</v>
      </c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62</v>
      </c>
      <c r="N6" s="8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6"/>
      <c r="B17" s="6"/>
      <c r="C17" s="6"/>
      <c r="D17" s="6"/>
      <c r="E17" s="6"/>
      <c r="F17" s="6"/>
      <c r="G17" s="6"/>
      <c r="H17" s="13">
        <f>SUM(H4:H16)</f>
        <v>65000000</v>
      </c>
      <c r="I17" s="13">
        <f>SUM(I4:I16)</f>
        <v>62000000</v>
      </c>
      <c r="J17" s="6"/>
      <c r="K17" s="6"/>
      <c r="L17" s="6"/>
      <c r="M17" s="6"/>
      <c r="N17" s="6"/>
      <c r="O17" s="13">
        <f>SUM(O4:O16)</f>
        <v>1250000</v>
      </c>
      <c r="P17" s="13">
        <f>SUM(P4:P16)</f>
        <v>650000</v>
      </c>
      <c r="Q17" s="13">
        <f>SUM(Q4:Q16)</f>
        <v>0</v>
      </c>
      <c r="R17" s="13">
        <f>SUM(R4:R16)</f>
        <v>0</v>
      </c>
      <c r="S17" s="13">
        <f>SUM(S4:S16)</f>
        <v>1900000</v>
      </c>
      <c r="T17" s="13">
        <f>SUM(T4:T16)</f>
        <v>60750000</v>
      </c>
      <c r="U17" s="6"/>
      <c r="V17" s="6"/>
    </row>
  </sheetData>
  <mergeCells count="1">
    <mergeCell ref="O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2F9F-F2A6-4A82-B271-421C6A623160}">
  <dimension ref="A1:W13"/>
  <sheetViews>
    <sheetView topLeftCell="I1" workbookViewId="0">
      <selection activeCell="U3" sqref="U3"/>
    </sheetView>
  </sheetViews>
  <sheetFormatPr defaultRowHeight="14.5" x14ac:dyDescent="0.35"/>
  <cols>
    <col min="1" max="1" width="3.08984375" bestFit="1" customWidth="1"/>
    <col min="2" max="2" width="6.81640625" bestFit="1" customWidth="1"/>
    <col min="3" max="3" width="14.90625" bestFit="1" customWidth="1"/>
    <col min="4" max="4" width="11.1796875" bestFit="1" customWidth="1"/>
    <col min="5" max="5" width="8" bestFit="1" customWidth="1"/>
    <col min="6" max="6" width="11.26953125" bestFit="1" customWidth="1"/>
    <col min="7" max="7" width="6.7265625" bestFit="1" customWidth="1"/>
    <col min="8" max="9" width="13.81640625" bestFit="1" customWidth="1"/>
    <col min="10" max="10" width="11.1796875" bestFit="1" customWidth="1"/>
    <col min="11" max="11" width="5.453125" bestFit="1" customWidth="1"/>
    <col min="12" max="12" width="10.81640625" bestFit="1" customWidth="1"/>
    <col min="13" max="13" width="9.26953125" bestFit="1" customWidth="1"/>
    <col min="14" max="14" width="6" bestFit="1" customWidth="1"/>
    <col min="15" max="15" width="6.453125" bestFit="1" customWidth="1"/>
    <col min="16" max="16" width="12.7265625" bestFit="1" customWidth="1"/>
    <col min="17" max="17" width="13.453125" bestFit="1" customWidth="1"/>
    <col min="18" max="18" width="20.7265625" bestFit="1" customWidth="1"/>
    <col min="19" max="19" width="18.54296875" bestFit="1" customWidth="1"/>
    <col min="20" max="20" width="9.08984375" bestFit="1" customWidth="1"/>
    <col min="21" max="21" width="12.90625" bestFit="1" customWidth="1"/>
    <col min="22" max="22" width="6.1796875" bestFit="1" customWidth="1"/>
    <col min="23" max="23" width="13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56</v>
      </c>
      <c r="E1" s="2" t="s">
        <v>10</v>
      </c>
      <c r="F1" s="2" t="s">
        <v>3</v>
      </c>
      <c r="G1" s="2" t="s">
        <v>4</v>
      </c>
      <c r="H1" s="2" t="s">
        <v>5</v>
      </c>
      <c r="I1" s="2" t="s">
        <v>11</v>
      </c>
      <c r="J1" s="2" t="s">
        <v>6</v>
      </c>
      <c r="K1" s="2" t="s">
        <v>7</v>
      </c>
      <c r="L1" s="2" t="s">
        <v>8</v>
      </c>
      <c r="M1" s="2" t="s">
        <v>22</v>
      </c>
      <c r="N1" s="2" t="s">
        <v>23</v>
      </c>
      <c r="O1" s="5" t="s">
        <v>51</v>
      </c>
      <c r="P1" s="5"/>
      <c r="Q1" s="5"/>
      <c r="R1" s="5"/>
      <c r="S1" s="2" t="s">
        <v>21</v>
      </c>
      <c r="T1" s="2" t="s">
        <v>15</v>
      </c>
      <c r="U1" s="2" t="s">
        <v>16</v>
      </c>
      <c r="V1" s="2" t="s">
        <v>17</v>
      </c>
      <c r="W1" s="2" t="s">
        <v>52</v>
      </c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47</v>
      </c>
      <c r="P2" s="2" t="s">
        <v>48</v>
      </c>
      <c r="Q2" s="2" t="s">
        <v>49</v>
      </c>
      <c r="R2" s="2" t="s">
        <v>50</v>
      </c>
      <c r="S2" s="8"/>
      <c r="T2" s="8"/>
      <c r="U2" s="8"/>
      <c r="V2" s="8"/>
      <c r="W2" s="8"/>
    </row>
    <row r="3" spans="1:23" x14ac:dyDescent="0.35">
      <c r="A3" s="1">
        <v>1</v>
      </c>
      <c r="B3" s="1">
        <v>123456</v>
      </c>
      <c r="C3" s="9" t="s">
        <v>53</v>
      </c>
      <c r="D3" s="1" t="s">
        <v>58</v>
      </c>
      <c r="E3" s="1" t="s">
        <v>54</v>
      </c>
      <c r="F3" s="1" t="s">
        <v>59</v>
      </c>
      <c r="G3" s="1" t="s">
        <v>60</v>
      </c>
      <c r="H3" s="10">
        <v>15000000</v>
      </c>
      <c r="I3" s="11">
        <f>H3</f>
        <v>15000000</v>
      </c>
      <c r="J3" s="12">
        <v>46046</v>
      </c>
      <c r="K3" s="1">
        <v>12</v>
      </c>
      <c r="L3" s="12">
        <v>46411</v>
      </c>
      <c r="M3" s="1" t="s">
        <v>61</v>
      </c>
      <c r="N3" s="8">
        <v>12</v>
      </c>
      <c r="O3" s="1">
        <v>0</v>
      </c>
      <c r="P3" s="11">
        <f>H3*3%</f>
        <v>450000</v>
      </c>
      <c r="Q3" s="10">
        <v>100000</v>
      </c>
      <c r="R3" s="1">
        <v>0</v>
      </c>
      <c r="S3" s="1" t="s">
        <v>68</v>
      </c>
      <c r="T3" s="1" t="s">
        <v>65</v>
      </c>
      <c r="U3" s="9" t="s">
        <v>70</v>
      </c>
      <c r="V3" s="1" t="s">
        <v>66</v>
      </c>
      <c r="W3" s="12">
        <v>46227</v>
      </c>
    </row>
    <row r="4" spans="1:23" x14ac:dyDescent="0.35">
      <c r="A4" s="1">
        <v>2</v>
      </c>
      <c r="B4" s="1">
        <v>123456</v>
      </c>
      <c r="C4" s="9" t="s">
        <v>71</v>
      </c>
      <c r="D4" s="1" t="s">
        <v>58</v>
      </c>
      <c r="E4" s="1" t="s">
        <v>55</v>
      </c>
      <c r="F4" s="1" t="s">
        <v>59</v>
      </c>
      <c r="G4" s="1" t="s">
        <v>60</v>
      </c>
      <c r="H4" s="10">
        <v>50000000</v>
      </c>
      <c r="I4" s="11">
        <f>H4</f>
        <v>50000000</v>
      </c>
      <c r="J4" s="12">
        <v>45368</v>
      </c>
      <c r="K4" s="1">
        <v>12</v>
      </c>
      <c r="L4" s="12">
        <v>45733</v>
      </c>
      <c r="M4" s="1" t="s">
        <v>61</v>
      </c>
      <c r="N4" s="8">
        <v>12</v>
      </c>
      <c r="O4" s="1" t="s">
        <v>75</v>
      </c>
      <c r="P4" s="11">
        <f>H4*3%</f>
        <v>1500000</v>
      </c>
      <c r="Q4" s="10">
        <v>150000</v>
      </c>
      <c r="R4" s="11">
        <f>(I4*(N4/12)%)*K4</f>
        <v>6000000</v>
      </c>
      <c r="S4" s="1" t="s">
        <v>69</v>
      </c>
      <c r="T4" s="1" t="s">
        <v>65</v>
      </c>
      <c r="U4" s="9" t="s">
        <v>70</v>
      </c>
      <c r="V4" s="1" t="s">
        <v>67</v>
      </c>
      <c r="W4" s="12">
        <v>45726</v>
      </c>
    </row>
    <row r="5" spans="1:2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</sheetData>
  <mergeCells count="1">
    <mergeCell ref="O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34AA-DEEF-4746-8828-F82EEA2B02AC}">
  <dimension ref="A1:T13"/>
  <sheetViews>
    <sheetView topLeftCell="D1" workbookViewId="0">
      <selection activeCell="K17" sqref="K17"/>
    </sheetView>
  </sheetViews>
  <sheetFormatPr defaultRowHeight="14.5" x14ac:dyDescent="0.35"/>
  <cols>
    <col min="1" max="1" width="3.08984375" bestFit="1" customWidth="1"/>
    <col min="2" max="2" width="6.81640625" bestFit="1" customWidth="1"/>
    <col min="3" max="3" width="14.90625" bestFit="1" customWidth="1"/>
    <col min="4" max="4" width="11.1796875" bestFit="1" customWidth="1"/>
    <col min="5" max="5" width="8" bestFit="1" customWidth="1"/>
    <col min="6" max="6" width="11.26953125" bestFit="1" customWidth="1"/>
    <col min="7" max="7" width="6.7265625" bestFit="1" customWidth="1"/>
    <col min="8" max="9" width="13.81640625" bestFit="1" customWidth="1"/>
    <col min="10" max="10" width="11.1796875" bestFit="1" customWidth="1"/>
    <col min="11" max="11" width="5.453125" bestFit="1" customWidth="1"/>
    <col min="12" max="12" width="10.81640625" bestFit="1" customWidth="1"/>
    <col min="13" max="13" width="9.26953125" bestFit="1" customWidth="1"/>
    <col min="14" max="14" width="6" bestFit="1" customWidth="1"/>
    <col min="15" max="15" width="15.36328125" bestFit="1" customWidth="1"/>
    <col min="16" max="16" width="15.453125" bestFit="1" customWidth="1"/>
    <col min="17" max="17" width="9.81640625" bestFit="1" customWidth="1"/>
    <col min="18" max="18" width="9.08984375" bestFit="1" customWidth="1"/>
    <col min="19" max="19" width="6.1796875" bestFit="1" customWidth="1"/>
    <col min="20" max="20" width="12.9062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56</v>
      </c>
      <c r="E1" s="2" t="s">
        <v>10</v>
      </c>
      <c r="F1" s="2" t="s">
        <v>3</v>
      </c>
      <c r="G1" s="2" t="s">
        <v>4</v>
      </c>
      <c r="H1" s="2" t="s">
        <v>5</v>
      </c>
      <c r="I1" s="2" t="s">
        <v>11</v>
      </c>
      <c r="J1" s="2" t="s">
        <v>6</v>
      </c>
      <c r="K1" s="2" t="s">
        <v>7</v>
      </c>
      <c r="L1" s="2" t="s">
        <v>8</v>
      </c>
      <c r="M1" s="2" t="s">
        <v>22</v>
      </c>
      <c r="N1" s="2" t="s">
        <v>23</v>
      </c>
      <c r="O1" s="2" t="s">
        <v>76</v>
      </c>
      <c r="P1" s="2" t="s">
        <v>13</v>
      </c>
      <c r="Q1" s="2" t="s">
        <v>11</v>
      </c>
      <c r="R1" s="2" t="s">
        <v>15</v>
      </c>
      <c r="S1" s="2" t="s">
        <v>17</v>
      </c>
      <c r="T1" s="2" t="s">
        <v>16</v>
      </c>
    </row>
    <row r="2" spans="1:20" x14ac:dyDescent="0.35">
      <c r="A2" s="1">
        <v>1</v>
      </c>
      <c r="B2" s="1">
        <v>123456</v>
      </c>
      <c r="C2" s="9" t="s">
        <v>71</v>
      </c>
      <c r="D2" s="1" t="s">
        <v>58</v>
      </c>
      <c r="E2" s="1" t="s">
        <v>55</v>
      </c>
      <c r="F2" s="1" t="s">
        <v>59</v>
      </c>
      <c r="G2" s="1" t="s">
        <v>60</v>
      </c>
      <c r="H2" s="10">
        <v>50000000</v>
      </c>
      <c r="I2" s="11">
        <f>H2</f>
        <v>50000000</v>
      </c>
      <c r="J2" s="12">
        <v>45368</v>
      </c>
      <c r="K2" s="1">
        <v>12</v>
      </c>
      <c r="L2" s="12">
        <v>45733</v>
      </c>
      <c r="M2" s="1" t="s">
        <v>61</v>
      </c>
      <c r="N2" s="8">
        <v>12</v>
      </c>
      <c r="O2" s="8">
        <v>0</v>
      </c>
      <c r="P2" s="8">
        <v>0</v>
      </c>
      <c r="Q2" s="8">
        <v>0</v>
      </c>
      <c r="R2" s="1" t="s">
        <v>65</v>
      </c>
      <c r="S2" s="1" t="s">
        <v>67</v>
      </c>
      <c r="T2" s="9" t="s">
        <v>70</v>
      </c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212D-7C62-42DE-B292-D2B62797ED35}">
  <dimension ref="A1:R9"/>
  <sheetViews>
    <sheetView topLeftCell="E1" workbookViewId="0">
      <selection activeCell="N11" sqref="N11"/>
    </sheetView>
  </sheetViews>
  <sheetFormatPr defaultColWidth="8.81640625" defaultRowHeight="14.5" x14ac:dyDescent="0.35"/>
  <cols>
    <col min="1" max="1" width="7.1796875" customWidth="1"/>
    <col min="2" max="2" width="6.7265625" customWidth="1"/>
    <col min="3" max="3" width="13.6328125" bestFit="1" customWidth="1"/>
    <col min="4" max="4" width="8.1796875" bestFit="1" customWidth="1"/>
    <col min="5" max="5" width="5.7265625" bestFit="1" customWidth="1"/>
    <col min="6" max="6" width="6.7265625" bestFit="1" customWidth="1"/>
    <col min="7" max="7" width="14.26953125" bestFit="1" customWidth="1"/>
    <col min="8" max="8" width="8.1796875" bestFit="1" customWidth="1"/>
    <col min="9" max="9" width="4.1796875" bestFit="1" customWidth="1"/>
    <col min="10" max="10" width="10.81640625" bestFit="1" customWidth="1"/>
    <col min="11" max="11" width="6" bestFit="1" customWidth="1"/>
    <col min="12" max="12" width="12.36328125" bestFit="1" customWidth="1"/>
    <col min="13" max="13" width="14.36328125" customWidth="1"/>
    <col min="14" max="14" width="20.54296875" bestFit="1" customWidth="1"/>
    <col min="15" max="15" width="12.453125" customWidth="1"/>
    <col min="16" max="16" width="30.90625" bestFit="1" customWidth="1"/>
  </cols>
  <sheetData>
    <row r="1" spans="1:18" x14ac:dyDescent="0.35">
      <c r="A1" s="2" t="s">
        <v>0</v>
      </c>
      <c r="B1" s="2" t="s">
        <v>1</v>
      </c>
      <c r="C1" s="2" t="s">
        <v>24</v>
      </c>
      <c r="D1" s="2" t="s">
        <v>25</v>
      </c>
      <c r="E1" s="2" t="s">
        <v>3</v>
      </c>
      <c r="F1" s="2" t="s">
        <v>4</v>
      </c>
      <c r="G1" s="2" t="s">
        <v>26</v>
      </c>
      <c r="H1" s="2" t="s">
        <v>27</v>
      </c>
      <c r="I1" s="2" t="s">
        <v>28</v>
      </c>
      <c r="J1" s="2" t="s">
        <v>8</v>
      </c>
      <c r="K1" s="2" t="s">
        <v>23</v>
      </c>
      <c r="L1" s="2" t="s">
        <v>30</v>
      </c>
      <c r="M1" s="2" t="s">
        <v>29</v>
      </c>
      <c r="N1" s="2" t="s">
        <v>31</v>
      </c>
      <c r="O1" s="2" t="s">
        <v>32</v>
      </c>
      <c r="P1" s="2" t="s">
        <v>33</v>
      </c>
      <c r="Q1" s="2" t="s">
        <v>17</v>
      </c>
      <c r="R1" s="2" t="s">
        <v>39</v>
      </c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A636-E723-419D-B69E-EFD090997113}">
  <dimension ref="A1:U9"/>
  <sheetViews>
    <sheetView workbookViewId="0">
      <selection activeCell="G19" sqref="G19"/>
    </sheetView>
  </sheetViews>
  <sheetFormatPr defaultColWidth="8.81640625" defaultRowHeight="14.5" x14ac:dyDescent="0.35"/>
  <cols>
    <col min="1" max="1" width="7.1796875" customWidth="1"/>
    <col min="2" max="2" width="6.7265625" customWidth="1"/>
    <col min="3" max="3" width="13.6328125" bestFit="1" customWidth="1"/>
    <col min="4" max="4" width="8.1796875" bestFit="1" customWidth="1"/>
    <col min="5" max="5" width="5.7265625" bestFit="1" customWidth="1"/>
    <col min="6" max="6" width="6.7265625" bestFit="1" customWidth="1"/>
    <col min="7" max="7" width="14.26953125" bestFit="1" customWidth="1"/>
    <col min="8" max="8" width="8.1796875" bestFit="1" customWidth="1"/>
    <col min="9" max="9" width="4.1796875" bestFit="1" customWidth="1"/>
    <col min="10" max="10" width="10.81640625" bestFit="1" customWidth="1"/>
    <col min="11" max="11" width="7.90625" bestFit="1" customWidth="1"/>
    <col min="12" max="12" width="12.36328125" bestFit="1" customWidth="1"/>
    <col min="13" max="16" width="14.36328125" customWidth="1"/>
    <col min="17" max="17" width="20.54296875" bestFit="1" customWidth="1"/>
    <col min="18" max="18" width="12.453125" customWidth="1"/>
    <col min="19" max="19" width="30.90625" bestFit="1" customWidth="1"/>
  </cols>
  <sheetData>
    <row r="1" spans="1:21" x14ac:dyDescent="0.35">
      <c r="A1" s="2" t="s">
        <v>0</v>
      </c>
      <c r="B1" s="2" t="s">
        <v>1</v>
      </c>
      <c r="C1" s="2" t="s">
        <v>24</v>
      </c>
      <c r="D1" s="2" t="s">
        <v>25</v>
      </c>
      <c r="E1" s="2" t="s">
        <v>3</v>
      </c>
      <c r="F1" s="2" t="s">
        <v>4</v>
      </c>
      <c r="G1" s="2" t="s">
        <v>26</v>
      </c>
      <c r="H1" s="2" t="s">
        <v>27</v>
      </c>
      <c r="I1" s="2" t="s">
        <v>28</v>
      </c>
      <c r="J1" s="2" t="s">
        <v>8</v>
      </c>
      <c r="K1" s="2" t="s">
        <v>77</v>
      </c>
      <c r="L1" s="2" t="s">
        <v>30</v>
      </c>
      <c r="M1" s="2" t="s">
        <v>29</v>
      </c>
      <c r="N1" s="14" t="s">
        <v>23</v>
      </c>
      <c r="O1" s="15"/>
      <c r="P1" s="16"/>
      <c r="Q1" s="2" t="s">
        <v>31</v>
      </c>
      <c r="R1" s="2" t="s">
        <v>32</v>
      </c>
      <c r="S1" s="2" t="s">
        <v>33</v>
      </c>
      <c r="T1" s="2" t="s">
        <v>17</v>
      </c>
      <c r="U1" s="2" t="s">
        <v>39</v>
      </c>
    </row>
    <row r="2" spans="1:2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78</v>
      </c>
      <c r="O2" s="2" t="s">
        <v>79</v>
      </c>
      <c r="P2" s="2" t="s">
        <v>80</v>
      </c>
      <c r="Q2" s="1"/>
      <c r="R2" s="1"/>
      <c r="S2" s="1"/>
      <c r="T2" s="1"/>
      <c r="U2" s="1"/>
    </row>
    <row r="3" spans="1:2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mergeCells count="1"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81E5-E2B0-456F-A2BF-925B8E8B2AD4}">
  <dimension ref="A1:R9"/>
  <sheetViews>
    <sheetView topLeftCell="H1" workbookViewId="0">
      <selection activeCell="P16" sqref="P16"/>
    </sheetView>
  </sheetViews>
  <sheetFormatPr defaultColWidth="8.81640625" defaultRowHeight="14.5" x14ac:dyDescent="0.35"/>
  <cols>
    <col min="1" max="1" width="7.1796875" customWidth="1"/>
    <col min="2" max="2" width="6.7265625" customWidth="1"/>
    <col min="3" max="3" width="13.6328125" bestFit="1" customWidth="1"/>
    <col min="4" max="4" width="8.1796875" bestFit="1" customWidth="1"/>
    <col min="5" max="5" width="5.7265625" bestFit="1" customWidth="1"/>
    <col min="6" max="6" width="6.7265625" bestFit="1" customWidth="1"/>
    <col min="7" max="7" width="14.26953125" bestFit="1" customWidth="1"/>
    <col min="8" max="8" width="8.1796875" bestFit="1" customWidth="1"/>
    <col min="9" max="9" width="4.1796875" bestFit="1" customWidth="1"/>
    <col min="10" max="10" width="10.81640625" bestFit="1" customWidth="1"/>
    <col min="11" max="11" width="7.90625" bestFit="1" customWidth="1"/>
    <col min="12" max="12" width="12.36328125" bestFit="1" customWidth="1"/>
    <col min="13" max="13" width="14.36328125" customWidth="1"/>
    <col min="14" max="14" width="20.54296875" bestFit="1" customWidth="1"/>
    <col min="15" max="15" width="12.453125" customWidth="1"/>
    <col min="16" max="16" width="30.90625" bestFit="1" customWidth="1"/>
  </cols>
  <sheetData>
    <row r="1" spans="1:18" x14ac:dyDescent="0.35">
      <c r="A1" s="2" t="s">
        <v>0</v>
      </c>
      <c r="B1" s="2" t="s">
        <v>1</v>
      </c>
      <c r="C1" s="2" t="s">
        <v>24</v>
      </c>
      <c r="D1" s="2" t="s">
        <v>25</v>
      </c>
      <c r="E1" s="2" t="s">
        <v>3</v>
      </c>
      <c r="F1" s="2" t="s">
        <v>4</v>
      </c>
      <c r="G1" s="2" t="s">
        <v>26</v>
      </c>
      <c r="H1" s="2" t="s">
        <v>27</v>
      </c>
      <c r="I1" s="2" t="s">
        <v>28</v>
      </c>
      <c r="J1" s="2" t="s">
        <v>8</v>
      </c>
      <c r="K1" s="2" t="s">
        <v>77</v>
      </c>
      <c r="L1" s="2" t="s">
        <v>30</v>
      </c>
      <c r="M1" s="2" t="s">
        <v>29</v>
      </c>
      <c r="N1" s="2" t="s">
        <v>31</v>
      </c>
      <c r="O1" s="2" t="s">
        <v>32</v>
      </c>
      <c r="P1" s="2" t="s">
        <v>33</v>
      </c>
      <c r="Q1" s="2" t="s">
        <v>17</v>
      </c>
      <c r="R1" s="2" t="s">
        <v>39</v>
      </c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8" t="s">
        <v>81</v>
      </c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A7C1-4E61-4D11-8B13-3B41B87E2E48}">
  <dimension ref="A1:R9"/>
  <sheetViews>
    <sheetView topLeftCell="F1" workbookViewId="0">
      <selection activeCell="O20" sqref="O20"/>
    </sheetView>
  </sheetViews>
  <sheetFormatPr defaultColWidth="8.81640625" defaultRowHeight="14.5" x14ac:dyDescent="0.35"/>
  <cols>
    <col min="1" max="1" width="7.1796875" customWidth="1"/>
    <col min="2" max="2" width="6.7265625" customWidth="1"/>
    <col min="3" max="3" width="13.6328125" bestFit="1" customWidth="1"/>
    <col min="4" max="4" width="8.1796875" bestFit="1" customWidth="1"/>
    <col min="5" max="5" width="5.7265625" bestFit="1" customWidth="1"/>
    <col min="6" max="6" width="6.7265625" bestFit="1" customWidth="1"/>
    <col min="7" max="7" width="14.26953125" bestFit="1" customWidth="1"/>
    <col min="8" max="8" width="8.1796875" bestFit="1" customWidth="1"/>
    <col min="9" max="9" width="4.1796875" bestFit="1" customWidth="1"/>
    <col min="10" max="10" width="10.81640625" bestFit="1" customWidth="1"/>
    <col min="11" max="11" width="7.90625" bestFit="1" customWidth="1"/>
    <col min="12" max="12" width="12.36328125" bestFit="1" customWidth="1"/>
    <col min="13" max="13" width="14.36328125" customWidth="1"/>
    <col min="14" max="14" width="20.54296875" bestFit="1" customWidth="1"/>
    <col min="15" max="15" width="12.453125" customWidth="1"/>
    <col min="16" max="16" width="30.90625" bestFit="1" customWidth="1"/>
  </cols>
  <sheetData>
    <row r="1" spans="1:18" x14ac:dyDescent="0.35">
      <c r="A1" s="2" t="s">
        <v>0</v>
      </c>
      <c r="B1" s="2" t="s">
        <v>1</v>
      </c>
      <c r="C1" s="2" t="s">
        <v>24</v>
      </c>
      <c r="D1" s="2" t="s">
        <v>25</v>
      </c>
      <c r="E1" s="2" t="s">
        <v>3</v>
      </c>
      <c r="F1" s="2" t="s">
        <v>4</v>
      </c>
      <c r="G1" s="2" t="s">
        <v>26</v>
      </c>
      <c r="H1" s="2" t="s">
        <v>27</v>
      </c>
      <c r="I1" s="2" t="s">
        <v>28</v>
      </c>
      <c r="J1" s="2" t="s">
        <v>8</v>
      </c>
      <c r="K1" s="2" t="s">
        <v>77</v>
      </c>
      <c r="L1" s="2" t="s">
        <v>30</v>
      </c>
      <c r="M1" s="2" t="s">
        <v>29</v>
      </c>
      <c r="N1" s="2" t="s">
        <v>31</v>
      </c>
      <c r="O1" s="2" t="s">
        <v>32</v>
      </c>
      <c r="P1" s="2" t="s">
        <v>33</v>
      </c>
      <c r="Q1" s="2" t="s">
        <v>17</v>
      </c>
      <c r="R1" s="2" t="s">
        <v>39</v>
      </c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8" t="s">
        <v>66</v>
      </c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427D-DB1F-4FCC-B80C-8415B5C072F5}">
  <dimension ref="A1:J10"/>
  <sheetViews>
    <sheetView workbookViewId="0">
      <selection activeCell="J19" sqref="J19"/>
    </sheetView>
  </sheetViews>
  <sheetFormatPr defaultRowHeight="14.5" x14ac:dyDescent="0.35"/>
  <cols>
    <col min="3" max="3" width="14.36328125" bestFit="1" customWidth="1"/>
    <col min="4" max="4" width="13.6328125" bestFit="1" customWidth="1"/>
    <col min="7" max="7" width="16.90625" customWidth="1"/>
  </cols>
  <sheetData>
    <row r="1" spans="1:10" x14ac:dyDescent="0.35">
      <c r="A1" s="2" t="s">
        <v>0</v>
      </c>
      <c r="B1" s="2" t="s">
        <v>1</v>
      </c>
      <c r="C1" s="2" t="s">
        <v>34</v>
      </c>
      <c r="D1" s="2" t="s">
        <v>35</v>
      </c>
      <c r="E1" s="2" t="s">
        <v>3</v>
      </c>
      <c r="F1" s="2" t="s">
        <v>4</v>
      </c>
      <c r="G1" s="2" t="s">
        <v>36</v>
      </c>
      <c r="H1" s="2" t="s">
        <v>37</v>
      </c>
      <c r="I1" s="2" t="s">
        <v>17</v>
      </c>
      <c r="J1" s="2" t="s">
        <v>39</v>
      </c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3F9F-5495-467F-B482-6F613692475F}">
  <dimension ref="A1:J10"/>
  <sheetViews>
    <sheetView workbookViewId="0">
      <selection activeCell="E18" sqref="E17:E18"/>
    </sheetView>
  </sheetViews>
  <sheetFormatPr defaultRowHeight="14.5" x14ac:dyDescent="0.35"/>
  <cols>
    <col min="3" max="3" width="14.36328125" bestFit="1" customWidth="1"/>
    <col min="4" max="4" width="13.6328125" bestFit="1" customWidth="1"/>
    <col min="7" max="7" width="16.90625" customWidth="1"/>
  </cols>
  <sheetData>
    <row r="1" spans="1:10" x14ac:dyDescent="0.35">
      <c r="A1" s="2" t="s">
        <v>0</v>
      </c>
      <c r="B1" s="2" t="s">
        <v>1</v>
      </c>
      <c r="C1" s="2" t="s">
        <v>34</v>
      </c>
      <c r="D1" s="2" t="s">
        <v>35</v>
      </c>
      <c r="E1" s="2" t="s">
        <v>3</v>
      </c>
      <c r="F1" s="2" t="s">
        <v>4</v>
      </c>
      <c r="G1" s="2" t="s">
        <v>36</v>
      </c>
      <c r="H1" s="2" t="s">
        <v>37</v>
      </c>
      <c r="I1" s="2" t="s">
        <v>17</v>
      </c>
      <c r="J1" s="2" t="s">
        <v>39</v>
      </c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9816-C5CA-4675-8FE6-DC9AAEE8FDD7}">
  <dimension ref="A1:J10"/>
  <sheetViews>
    <sheetView workbookViewId="0">
      <selection activeCell="D17" sqref="D17"/>
    </sheetView>
  </sheetViews>
  <sheetFormatPr defaultRowHeight="14.5" x14ac:dyDescent="0.35"/>
  <cols>
    <col min="3" max="3" width="14.36328125" bestFit="1" customWidth="1"/>
    <col min="4" max="4" width="13.6328125" bestFit="1" customWidth="1"/>
    <col min="7" max="7" width="16.90625" customWidth="1"/>
  </cols>
  <sheetData>
    <row r="1" spans="1:10" x14ac:dyDescent="0.35">
      <c r="A1" s="2" t="s">
        <v>0</v>
      </c>
      <c r="B1" s="2" t="s">
        <v>1</v>
      </c>
      <c r="C1" s="2" t="s">
        <v>34</v>
      </c>
      <c r="D1" s="2" t="s">
        <v>35</v>
      </c>
      <c r="E1" s="2" t="s">
        <v>3</v>
      </c>
      <c r="F1" s="2" t="s">
        <v>4</v>
      </c>
      <c r="G1" s="2" t="s">
        <v>36</v>
      </c>
      <c r="H1" s="2" t="s">
        <v>37</v>
      </c>
      <c r="I1" s="2" t="s">
        <v>17</v>
      </c>
      <c r="J1" s="2" t="s">
        <v>39</v>
      </c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Laporan Nominatif Kredit</vt:lpstr>
      <vt:lpstr>Laporan Pembayaran Angsuran</vt:lpstr>
      <vt:lpstr>Laporan Realisasi</vt:lpstr>
      <vt:lpstr>Laporan Pelunasan</vt:lpstr>
      <vt:lpstr>Laporan Nominatif Deposito</vt:lpstr>
      <vt:lpstr>Lap Pembayaran Bunga Deposito</vt:lpstr>
      <vt:lpstr>Lap Deposito Cair</vt:lpstr>
      <vt:lpstr>Lap Deposito Penempatan</vt:lpstr>
      <vt:lpstr>Laporan Nominatif Tabungan</vt:lpstr>
      <vt:lpstr>Laporan Tabungan Buka</vt:lpstr>
      <vt:lpstr>Laporan Tabungan Tutup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BPR DP TASPEN</dc:creator>
  <cp:lastModifiedBy>BPR DP TASPEN</cp:lastModifiedBy>
  <dcterms:created xsi:type="dcterms:W3CDTF">2026-07-24T03:17:34Z</dcterms:created>
  <dcterms:modified xsi:type="dcterms:W3CDTF">2026-07-24T10:46:22Z</dcterms:modified>
</cp:coreProperties>
</file>